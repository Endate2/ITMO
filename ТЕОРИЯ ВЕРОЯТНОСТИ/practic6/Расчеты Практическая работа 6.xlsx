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cimirev/Desktop/теория вер/"/>
    </mc:Choice>
  </mc:AlternateContent>
  <xr:revisionPtr revIDLastSave="0" documentId="13_ncr:1_{FF61BCC5-0803-1647-B124-7BD6687F3DD5}" xr6:coauthVersionLast="36" xr6:coauthVersionMax="36" xr10:uidLastSave="{00000000-0000-0000-0000-000000000000}"/>
  <bookViews>
    <workbookView xWindow="-19080" yWindow="-1960" windowWidth="19080" windowHeight="21600" xr2:uid="{46C5660C-97BE-4AC9-B88A-D98CAD43873B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" l="1"/>
  <c r="J10" i="2"/>
  <c r="B10" i="2"/>
  <c r="I10" i="2"/>
  <c r="J9" i="2"/>
  <c r="B11" i="2" l="1"/>
  <c r="H15" i="2" a="1"/>
  <c r="H15" i="2" s="1"/>
  <c r="G15" i="2" a="1"/>
  <c r="G15" i="2" s="1"/>
  <c r="B15" i="2" s="1"/>
  <c r="B16" i="2" s="1"/>
  <c r="F15" i="2" a="1"/>
  <c r="F15" i="2" s="1"/>
  <c r="E15" i="2" a="1"/>
  <c r="E15" i="2" s="1"/>
  <c r="J15" i="2"/>
  <c r="M7" i="2"/>
  <c r="M6" i="2"/>
  <c r="M5" i="2"/>
  <c r="M4" i="2"/>
  <c r="M3" i="2"/>
  <c r="M2" i="2"/>
  <c r="I11" i="2"/>
  <c r="H11" i="2"/>
  <c r="G11" i="2"/>
  <c r="F11" i="2"/>
  <c r="E11" i="2"/>
  <c r="D11" i="2"/>
  <c r="C11" i="2"/>
  <c r="L8" i="2"/>
  <c r="L7" i="2"/>
  <c r="N7" i="2" s="1"/>
  <c r="L6" i="2"/>
  <c r="N6" i="2" s="1"/>
  <c r="L5" i="2"/>
  <c r="N5" i="2" s="1"/>
  <c r="L4" i="2"/>
  <c r="N4" i="2" s="1"/>
  <c r="L3" i="2"/>
  <c r="N3" i="2" s="1"/>
  <c r="L2" i="2"/>
  <c r="N2" i="2" s="1"/>
  <c r="I12" i="2"/>
  <c r="H10" i="2"/>
  <c r="H12" i="2" s="1"/>
  <c r="G10" i="2"/>
  <c r="G12" i="2" s="1"/>
  <c r="F10" i="2"/>
  <c r="F12" i="2" s="1"/>
  <c r="E10" i="2"/>
  <c r="E12" i="2" s="1"/>
  <c r="D10" i="2"/>
  <c r="D12" i="2" s="1"/>
  <c r="C10" i="2"/>
  <c r="C12" i="2" s="1"/>
  <c r="B12" i="2"/>
  <c r="B9" i="2"/>
  <c r="I9" i="2"/>
  <c r="H9" i="2"/>
  <c r="G9" i="2"/>
  <c r="F9" i="2"/>
  <c r="E9" i="2"/>
  <c r="D9" i="2"/>
  <c r="C9" i="2"/>
  <c r="K7" i="2"/>
  <c r="K6" i="2"/>
  <c r="K5" i="2"/>
  <c r="K4" i="2"/>
  <c r="K3" i="2"/>
  <c r="K2" i="2"/>
  <c r="K8" i="2" l="1"/>
  <c r="C15" i="2"/>
  <c r="C16" i="2" s="1"/>
  <c r="J11" i="2"/>
  <c r="K15" i="2"/>
  <c r="N8" i="2"/>
  <c r="J12" i="2"/>
  <c r="B18" i="2" s="1"/>
  <c r="B19" i="2" l="1"/>
  <c r="F20" i="2" l="1"/>
  <c r="F19" i="2"/>
  <c r="H19" i="2"/>
  <c r="H20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<sst xmlns="http://schemas.openxmlformats.org/spreadsheetml/2006/main" count="20" uniqueCount="20">
  <si>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X\Y</t>
  </si>
  <si>
    <t>S^2</t>
  </si>
  <si>
    <t>S</t>
  </si>
  <si>
    <t>x</t>
  </si>
  <si>
    <t>y</t>
  </si>
  <si>
    <t>mx * x</t>
  </si>
  <si>
    <t>my *y</t>
  </si>
  <si>
    <t>mx * x^2</t>
  </si>
  <si>
    <t>my *y^2</t>
  </si>
  <si>
    <t>Sxy</t>
  </si>
  <si>
    <t>Rxy</t>
  </si>
  <si>
    <t>Уравнение:</t>
  </si>
  <si>
    <t>y =</t>
  </si>
  <si>
    <t>x(сред)</t>
  </si>
  <si>
    <t>y(сред)</t>
  </si>
  <si>
    <r>
      <t>m</t>
    </r>
    <r>
      <rPr>
        <b/>
        <vertAlign val="subscript"/>
        <sz val="11"/>
        <color theme="1"/>
        <rFont val="Calibri"/>
        <family val="2"/>
        <charset val="204"/>
        <scheme val="minor"/>
      </rPr>
      <t>y</t>
    </r>
  </si>
  <si>
    <r>
      <t>m</t>
    </r>
    <r>
      <rPr>
        <b/>
        <vertAlign val="subscript"/>
        <sz val="11"/>
        <color theme="1"/>
        <rFont val="Calibri"/>
        <family val="2"/>
        <charset val="204"/>
        <scheme val="minor"/>
      </rPr>
      <t>x</t>
    </r>
  </si>
  <si>
    <t>x       +</t>
  </si>
  <si>
    <t>y       +</t>
  </si>
  <si>
    <t>x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</si>
</sst>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15" xfId="0" applyNumberFormat="1" applyFill="1" applyBorder="1" applyAlignment="1">
      <alignment horizontal="center" vertical="center" wrapText="1"/>
    </xf>
    <xf numFmtId="0" fontId="0" fillId="3" borderId="16" xfId="0" applyNumberForma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6" xfId="0" applyFill="1" applyBorder="1"/>
    <xf numFmtId="0" fontId="0" fillId="6" borderId="17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0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20" xfId="0" applyFill="1" applyBorder="1"/>
    <xf numFmtId="0" fontId="0" fillId="6" borderId="1" xfId="0" applyFill="1" applyBorder="1"/>
    <xf numFmtId="0" fontId="0" fillId="6" borderId="6" xfId="0" applyFill="1" applyBorder="1" applyAlignment="1">
      <alignment horizontal="right"/>
    </xf>
    <xf numFmtId="0" fontId="0" fillId="6" borderId="17" xfId="0" applyFill="1" applyBorder="1" applyAlignment="1">
      <alignment horizontal="right"/>
    </xf>
    <xf numFmtId="0" fontId="0" fillId="6" borderId="11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0" xfId="0" applyFill="1" applyBorder="1" applyAlignment="1">
      <alignment horizontal="right"/>
    </xf>
    <xf numFmtId="0" fontId="0" fillId="6" borderId="23" xfId="0" applyFill="1" applyBorder="1" applyAlignment="1">
      <alignment horizontal="right"/>
    </xf>
    <xf numFmtId="0" fontId="0" fillId="6" borderId="10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0" fontId="0" fillId="6" borderId="12" xfId="0" applyFill="1" applyBorder="1" applyAlignment="1">
      <alignment horizontal="right"/>
    </xf>
    <xf numFmtId="0" fontId="0" fillId="6" borderId="5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13" xfId="0" applyFill="1" applyBorder="1" applyAlignment="1">
      <alignment horizontal="right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0" borderId="0" xfId="0" applyFill="1" applyBorder="1"/>
    <xf numFmtId="0" fontId="0" fillId="0" borderId="9" xfId="0" applyFill="1" applyBorder="1"/>
    <xf numFmtId="0" fontId="0" fillId="0" borderId="20" xfId="0" applyFill="1" applyBorder="1"/>
    <xf numFmtId="0" fontId="0" fillId="0" borderId="1" xfId="0" applyFill="1" applyBorder="1"/>
    <xf numFmtId="0" fontId="3" fillId="0" borderId="17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10" xfId="0" applyFont="1" applyFill="1" applyBorder="1"/>
    <xf numFmtId="0" fontId="0" fillId="0" borderId="6" xfId="0" applyFill="1" applyBorder="1"/>
    <xf numFmtId="0" fontId="0" fillId="0" borderId="17" xfId="0" applyFill="1" applyBorder="1"/>
    <xf numFmtId="0" fontId="0" fillId="0" borderId="7" xfId="0" applyFill="1" applyBorder="1"/>
    <xf numFmtId="0" fontId="0" fillId="0" borderId="8" xfId="0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applyBorder="1" applyAlignment="1"/>
    <xf numFmtId="0" fontId="0" fillId="0" borderId="9" xfId="0" applyBorder="1" applyAlignment="1"/>
    <xf numFmtId="0" fontId="1" fillId="0" borderId="8" xfId="0" applyFont="1" applyFill="1" applyBorder="1" applyAlignment="1">
      <alignment horizontal="center"/>
    </xf>
    <xf numFmtId="0" fontId="0" fillId="0" borderId="17" xfId="0" applyBorder="1" applyAlignment="1"/>
    <xf numFmtId="0" fontId="0" fillId="0" borderId="17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92FE-AC92-484B-A648-E9C9ACFEC64B}">
  <dimension ref="A1:N27"/>
  <sheetViews>
    <sheetView tabSelected="1" zoomScaleNormal="100" workbookViewId="0">
      <selection activeCell="D28" sqref="D28"/>
    </sheetView>
  </sheetViews>
  <sheetFormatPr baseColWidth="10" defaultColWidth="8.83203125" defaultRowHeight="15" x14ac:dyDescent="0.2"/>
  <cols>
    <col min="1" max="1" width="11.5" bestFit="1" customWidth="1"/>
  </cols>
  <sheetData>
    <row r="1" spans="1:14" ht="19" thickBot="1" x14ac:dyDescent="0.25">
      <c r="A1" s="14" t="s">
        <v>0</v>
      </c>
      <c r="B1" s="5">
        <v>22</v>
      </c>
      <c r="C1" s="5">
        <v>22.4</v>
      </c>
      <c r="D1" s="5">
        <v>22.8</v>
      </c>
      <c r="E1" s="5">
        <v>23.2</v>
      </c>
      <c r="F1" s="5">
        <v>23.6</v>
      </c>
      <c r="G1" s="5">
        <v>24</v>
      </c>
      <c r="H1" s="5">
        <v>24.4</v>
      </c>
      <c r="I1" s="6">
        <v>24.8</v>
      </c>
      <c r="J1" s="15" t="s">
        <v>16</v>
      </c>
      <c r="K1" s="52"/>
      <c r="L1" s="52"/>
      <c r="M1" s="52"/>
      <c r="N1" s="53"/>
    </row>
    <row r="2" spans="1:14" ht="17" thickTop="1" thickBot="1" x14ac:dyDescent="0.25">
      <c r="A2" s="7">
        <v>1</v>
      </c>
      <c r="B2" s="1">
        <v>3</v>
      </c>
      <c r="C2" s="2">
        <v>2</v>
      </c>
      <c r="D2" s="2">
        <v>1</v>
      </c>
      <c r="E2" s="17">
        <v>0</v>
      </c>
      <c r="F2" s="17">
        <v>0</v>
      </c>
      <c r="G2" s="17">
        <v>0</v>
      </c>
      <c r="H2" s="17">
        <v>0</v>
      </c>
      <c r="I2" s="19">
        <v>0</v>
      </c>
      <c r="J2" s="9">
        <v>6</v>
      </c>
      <c r="K2" s="20">
        <f>A2*J2</f>
        <v>6</v>
      </c>
      <c r="L2" s="21">
        <f>B$1*B2+C$1*C2+D$1*D2+E$1*E2+F$1*F2+G$1*G2+H$1*H2+I$1*I2</f>
        <v>133.6</v>
      </c>
      <c r="M2" s="21">
        <f>A2^2*J2</f>
        <v>6</v>
      </c>
      <c r="N2" s="22">
        <f>A2*L2</f>
        <v>133.6</v>
      </c>
    </row>
    <row r="3" spans="1:14" ht="16" thickBot="1" x14ac:dyDescent="0.25">
      <c r="A3" s="7">
        <v>1.2</v>
      </c>
      <c r="B3" s="17">
        <v>0</v>
      </c>
      <c r="C3" s="17">
        <v>0</v>
      </c>
      <c r="D3" s="2">
        <v>4</v>
      </c>
      <c r="E3" s="2">
        <v>5</v>
      </c>
      <c r="F3" s="17">
        <v>0</v>
      </c>
      <c r="G3" s="17">
        <v>0</v>
      </c>
      <c r="H3" s="17">
        <v>0</v>
      </c>
      <c r="I3" s="19">
        <v>0</v>
      </c>
      <c r="J3" s="9">
        <v>9</v>
      </c>
      <c r="K3" s="23">
        <f t="shared" ref="K3:K7" si="0">A3*J3</f>
        <v>10.799999999999999</v>
      </c>
      <c r="L3" s="24">
        <f t="shared" ref="L3:L8" si="1">B$1*B3+C$1*C3+D$1*D3+E$1*E3+F$1*F3+G$1*G3+H$1*H3+I$1*I3</f>
        <v>207.2</v>
      </c>
      <c r="M3" s="24">
        <f t="shared" ref="M3:M7" si="2">A3^2*J3</f>
        <v>12.959999999999999</v>
      </c>
      <c r="N3" s="25">
        <f t="shared" ref="N3:N7" si="3">A3*L3</f>
        <v>248.64</v>
      </c>
    </row>
    <row r="4" spans="1:14" ht="16" thickBot="1" x14ac:dyDescent="0.25">
      <c r="A4" s="7">
        <v>1.4</v>
      </c>
      <c r="B4" s="17">
        <v>0</v>
      </c>
      <c r="C4" s="17">
        <v>0</v>
      </c>
      <c r="D4" s="2">
        <v>10</v>
      </c>
      <c r="E4" s="2">
        <v>7</v>
      </c>
      <c r="F4" s="2">
        <v>6</v>
      </c>
      <c r="G4" s="17">
        <v>0</v>
      </c>
      <c r="H4" s="17">
        <v>0</v>
      </c>
      <c r="I4" s="19">
        <v>0</v>
      </c>
      <c r="J4" s="9">
        <v>23</v>
      </c>
      <c r="K4" s="23">
        <f t="shared" si="0"/>
        <v>32.199999999999996</v>
      </c>
      <c r="L4" s="24">
        <f t="shared" si="1"/>
        <v>532</v>
      </c>
      <c r="M4" s="24">
        <f t="shared" si="2"/>
        <v>45.079999999999991</v>
      </c>
      <c r="N4" s="25">
        <f t="shared" si="3"/>
        <v>744.8</v>
      </c>
    </row>
    <row r="5" spans="1:14" ht="16" thickBot="1" x14ac:dyDescent="0.25">
      <c r="A5" s="7">
        <v>1.6</v>
      </c>
      <c r="B5" s="17">
        <v>0</v>
      </c>
      <c r="C5" s="17">
        <v>0</v>
      </c>
      <c r="D5" s="17">
        <v>0</v>
      </c>
      <c r="E5" s="2">
        <v>12</v>
      </c>
      <c r="F5" s="2">
        <v>9</v>
      </c>
      <c r="G5" s="2">
        <v>5</v>
      </c>
      <c r="H5" s="17">
        <v>0</v>
      </c>
      <c r="I5" s="19">
        <v>0</v>
      </c>
      <c r="J5" s="9">
        <v>26</v>
      </c>
      <c r="K5" s="23">
        <f t="shared" si="0"/>
        <v>41.6</v>
      </c>
      <c r="L5" s="24">
        <f t="shared" si="1"/>
        <v>610.79999999999995</v>
      </c>
      <c r="M5" s="24">
        <f t="shared" si="2"/>
        <v>66.560000000000016</v>
      </c>
      <c r="N5" s="25">
        <f t="shared" si="3"/>
        <v>977.28</v>
      </c>
    </row>
    <row r="6" spans="1:14" ht="16" thickBot="1" x14ac:dyDescent="0.25">
      <c r="A6" s="7">
        <v>1.8</v>
      </c>
      <c r="B6" s="17">
        <v>0</v>
      </c>
      <c r="C6" s="17">
        <v>0</v>
      </c>
      <c r="D6" s="17">
        <v>0</v>
      </c>
      <c r="E6" s="17">
        <v>0</v>
      </c>
      <c r="F6" s="2">
        <v>7</v>
      </c>
      <c r="G6" s="2">
        <v>4</v>
      </c>
      <c r="H6" s="2">
        <v>3</v>
      </c>
      <c r="I6" s="19">
        <v>0</v>
      </c>
      <c r="J6" s="9">
        <v>14</v>
      </c>
      <c r="K6" s="23">
        <f t="shared" si="0"/>
        <v>25.2</v>
      </c>
      <c r="L6" s="24">
        <f t="shared" si="1"/>
        <v>334.40000000000003</v>
      </c>
      <c r="M6" s="24">
        <f t="shared" si="2"/>
        <v>45.36</v>
      </c>
      <c r="N6" s="25">
        <f t="shared" si="3"/>
        <v>601.92000000000007</v>
      </c>
    </row>
    <row r="7" spans="1:14" ht="16" thickBot="1" x14ac:dyDescent="0.25">
      <c r="A7" s="8">
        <v>2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3">
        <v>5</v>
      </c>
      <c r="H7" s="3">
        <v>9</v>
      </c>
      <c r="I7" s="4">
        <v>8</v>
      </c>
      <c r="J7" s="10">
        <v>22</v>
      </c>
      <c r="K7" s="23">
        <f t="shared" si="0"/>
        <v>44</v>
      </c>
      <c r="L7" s="24">
        <f t="shared" si="1"/>
        <v>538</v>
      </c>
      <c r="M7" s="24">
        <f t="shared" si="2"/>
        <v>88</v>
      </c>
      <c r="N7" s="25">
        <f t="shared" si="3"/>
        <v>1076</v>
      </c>
    </row>
    <row r="8" spans="1:14" ht="20" thickTop="1" thickBot="1" x14ac:dyDescent="0.25">
      <c r="A8" s="13" t="s">
        <v>15</v>
      </c>
      <c r="B8" s="11">
        <v>3</v>
      </c>
      <c r="C8" s="11">
        <v>2</v>
      </c>
      <c r="D8" s="11">
        <v>15</v>
      </c>
      <c r="E8" s="11">
        <v>24</v>
      </c>
      <c r="F8" s="11">
        <v>22</v>
      </c>
      <c r="G8" s="11">
        <v>14</v>
      </c>
      <c r="H8" s="11">
        <v>12</v>
      </c>
      <c r="I8" s="12">
        <v>8</v>
      </c>
      <c r="J8" s="16">
        <v>100</v>
      </c>
      <c r="K8" s="26">
        <f>SUM(K2:K7)</f>
        <v>159.80000000000001</v>
      </c>
      <c r="L8" s="27">
        <f t="shared" si="1"/>
        <v>2356</v>
      </c>
      <c r="M8" s="27">
        <f>SUM(M2:M7)</f>
        <v>263.96000000000004</v>
      </c>
      <c r="N8" s="28">
        <f>SUM(N2:N7)</f>
        <v>3782.24</v>
      </c>
    </row>
    <row r="9" spans="1:14" ht="16" thickTop="1" x14ac:dyDescent="0.2">
      <c r="A9" s="54"/>
      <c r="B9" s="29">
        <f>B1*B8</f>
        <v>66</v>
      </c>
      <c r="C9" s="30">
        <f t="shared" ref="C9:I9" si="4">C1*C8</f>
        <v>44.8</v>
      </c>
      <c r="D9" s="30">
        <f t="shared" si="4"/>
        <v>342</v>
      </c>
      <c r="E9" s="30">
        <f t="shared" si="4"/>
        <v>556.79999999999995</v>
      </c>
      <c r="F9" s="30">
        <f t="shared" si="4"/>
        <v>519.20000000000005</v>
      </c>
      <c r="G9" s="30">
        <f t="shared" si="4"/>
        <v>336</v>
      </c>
      <c r="H9" s="30">
        <f t="shared" si="4"/>
        <v>292.79999999999995</v>
      </c>
      <c r="I9" s="30">
        <f t="shared" si="4"/>
        <v>198.4</v>
      </c>
      <c r="J9" s="31">
        <f>SUM(B9:I9)</f>
        <v>2356</v>
      </c>
      <c r="K9" s="48"/>
      <c r="L9" s="48"/>
      <c r="M9" s="48"/>
      <c r="N9" s="49"/>
    </row>
    <row r="10" spans="1:14" x14ac:dyDescent="0.2">
      <c r="A10" s="54"/>
      <c r="B10" s="32">
        <f>$A2*B2+$A3*B3+$A4*B4+$A5*B5+$A6*B6+$A7*B7</f>
        <v>3</v>
      </c>
      <c r="C10" s="33">
        <f t="shared" ref="C10:J10" si="5">$A2*C2+$A3*C3+$A4*C4+$A5*C5+$A6*C6+$A7*C7</f>
        <v>2</v>
      </c>
      <c r="D10" s="33">
        <f t="shared" si="5"/>
        <v>19.8</v>
      </c>
      <c r="E10" s="33">
        <f t="shared" si="5"/>
        <v>35</v>
      </c>
      <c r="F10" s="33">
        <f t="shared" si="5"/>
        <v>35.4</v>
      </c>
      <c r="G10" s="33">
        <f t="shared" si="5"/>
        <v>25.2</v>
      </c>
      <c r="H10" s="33">
        <f t="shared" si="5"/>
        <v>23.4</v>
      </c>
      <c r="I10" s="33">
        <f t="shared" si="5"/>
        <v>16</v>
      </c>
      <c r="J10" s="34">
        <f>$A2*J2+$A3*J3+$A4*J4+$A5*J5+$A6*J6+$A7*J7</f>
        <v>159.80000000000001</v>
      </c>
      <c r="K10" s="48"/>
      <c r="L10" s="48"/>
      <c r="M10" s="48"/>
      <c r="N10" s="49"/>
    </row>
    <row r="11" spans="1:14" x14ac:dyDescent="0.2">
      <c r="A11" s="54"/>
      <c r="B11" s="32">
        <f>B1^2*B8</f>
        <v>1452</v>
      </c>
      <c r="C11" s="33">
        <f t="shared" ref="C11:I11" si="6">C1^2*C8</f>
        <v>1003.5199999999999</v>
      </c>
      <c r="D11" s="33">
        <f t="shared" si="6"/>
        <v>7797.6</v>
      </c>
      <c r="E11" s="33">
        <f t="shared" si="6"/>
        <v>12917.76</v>
      </c>
      <c r="F11" s="33">
        <f t="shared" si="6"/>
        <v>12253.12</v>
      </c>
      <c r="G11" s="33">
        <f t="shared" si="6"/>
        <v>8064</v>
      </c>
      <c r="H11" s="33">
        <f t="shared" si="6"/>
        <v>7144.3199999999988</v>
      </c>
      <c r="I11" s="33">
        <f t="shared" si="6"/>
        <v>4920.3200000000006</v>
      </c>
      <c r="J11" s="34">
        <f>SUM(B11:I11)</f>
        <v>55552.639999999999</v>
      </c>
      <c r="K11" s="48"/>
      <c r="L11" s="48"/>
      <c r="M11" s="48"/>
      <c r="N11" s="49"/>
    </row>
    <row r="12" spans="1:14" ht="16" thickBot="1" x14ac:dyDescent="0.25">
      <c r="A12" s="55"/>
      <c r="B12" s="35">
        <f>B1*B10</f>
        <v>66</v>
      </c>
      <c r="C12" s="36">
        <f t="shared" ref="C12:I12" si="7">C1*C10</f>
        <v>44.8</v>
      </c>
      <c r="D12" s="36">
        <f t="shared" si="7"/>
        <v>451.44000000000005</v>
      </c>
      <c r="E12" s="36">
        <f t="shared" si="7"/>
        <v>812</v>
      </c>
      <c r="F12" s="36">
        <f t="shared" si="7"/>
        <v>835.44</v>
      </c>
      <c r="G12" s="36">
        <f t="shared" si="7"/>
        <v>604.79999999999995</v>
      </c>
      <c r="H12" s="36">
        <f t="shared" si="7"/>
        <v>570.95999999999992</v>
      </c>
      <c r="I12" s="36">
        <f t="shared" si="7"/>
        <v>396.8</v>
      </c>
      <c r="J12" s="37">
        <f>SUM(B12:I12)</f>
        <v>3782.2400000000007</v>
      </c>
      <c r="K12" s="50"/>
      <c r="L12" s="50"/>
      <c r="M12" s="50"/>
      <c r="N12" s="51"/>
    </row>
    <row r="13" spans="1:14" ht="16" thickBot="1" x14ac:dyDescent="0.25"/>
    <row r="14" spans="1:14" ht="16" thickBot="1" x14ac:dyDescent="0.25">
      <c r="A14" s="56"/>
      <c r="B14" s="42" t="s">
        <v>3</v>
      </c>
      <c r="C14" s="43" t="s">
        <v>4</v>
      </c>
      <c r="E14" s="44" t="s">
        <v>5</v>
      </c>
      <c r="F14" s="45" t="s">
        <v>6</v>
      </c>
      <c r="G14" s="45" t="s">
        <v>7</v>
      </c>
      <c r="H14" s="46" t="s">
        <v>8</v>
      </c>
      <c r="J14" s="44" t="s">
        <v>13</v>
      </c>
      <c r="K14" s="46" t="s">
        <v>14</v>
      </c>
    </row>
    <row r="15" spans="1:14" ht="16" thickBot="1" x14ac:dyDescent="0.25">
      <c r="A15" s="42" t="s">
        <v>1</v>
      </c>
      <c r="B15" s="20">
        <f>(G15-E15^2/J8)/(J8-1)</f>
        <v>8.686464646464627E-2</v>
      </c>
      <c r="C15" s="22">
        <f>(H15-F15^2/J8)/(J8-1)</f>
        <v>0.45737373737372561</v>
      </c>
      <c r="E15" s="26" cm="1">
        <f t="array" ref="E15">SUM(A2:A7*J2:J7)</f>
        <v>159.80000000000001</v>
      </c>
      <c r="F15" s="27" cm="1">
        <f t="array" ref="F15">SUM(B1:I1*B8:I8)</f>
        <v>2356</v>
      </c>
      <c r="G15" s="27" cm="1">
        <f t="array" ref="G15">SUM(A2:A7^2*J2:J7)</f>
        <v>263.96000000000004</v>
      </c>
      <c r="H15" s="28" cm="1">
        <f t="array" ref="H15">SUM(B1:I1^2*B8:I8)</f>
        <v>55552.639999999999</v>
      </c>
      <c r="J15" s="26">
        <f>J10/J8</f>
        <v>1.5980000000000001</v>
      </c>
      <c r="K15" s="28">
        <f>J9/J8</f>
        <v>23.56</v>
      </c>
    </row>
    <row r="16" spans="1:14" ht="16" thickBot="1" x14ac:dyDescent="0.25">
      <c r="A16" s="47" t="s">
        <v>2</v>
      </c>
      <c r="B16" s="26">
        <f>SQRT(B15)</f>
        <v>0.29472808903232528</v>
      </c>
      <c r="C16" s="28">
        <f>SQRT(C15)</f>
        <v>0.67629412046366755</v>
      </c>
    </row>
    <row r="17" spans="1:8" ht="16" thickBot="1" x14ac:dyDescent="0.25"/>
    <row r="18" spans="1:8" ht="16" thickBot="1" x14ac:dyDescent="0.25">
      <c r="A18" s="44" t="s">
        <v>9</v>
      </c>
      <c r="B18" s="38">
        <f>(J12-(E15*F15)/J8)/(J8-1)</f>
        <v>0.17527272727273047</v>
      </c>
      <c r="E18" s="42" t="s">
        <v>11</v>
      </c>
      <c r="F18" s="57"/>
      <c r="G18" s="57"/>
      <c r="H18" s="58"/>
    </row>
    <row r="19" spans="1:8" ht="16" thickBot="1" x14ac:dyDescent="0.25">
      <c r="A19" s="44" t="s">
        <v>10</v>
      </c>
      <c r="B19" s="38">
        <f>B18/(B16*C16)</f>
        <v>0.87934075992842098</v>
      </c>
      <c r="E19" s="41" t="s">
        <v>12</v>
      </c>
      <c r="F19" s="39">
        <f>B19*C16/B16</f>
        <v>2.0177682682915901</v>
      </c>
      <c r="G19" s="39" t="s">
        <v>17</v>
      </c>
      <c r="H19" s="40">
        <f>K15+B19*C16/B16*-J15</f>
        <v>20.335606307270037</v>
      </c>
    </row>
    <row r="20" spans="1:8" ht="16" thickBot="1" x14ac:dyDescent="0.25">
      <c r="A20" s="64"/>
      <c r="B20" s="64"/>
      <c r="C20" s="61"/>
      <c r="D20" s="62"/>
      <c r="E20" s="41" t="s">
        <v>19</v>
      </c>
      <c r="F20" s="39">
        <f>B19*B16/C16</f>
        <v>0.38321554770319693</v>
      </c>
      <c r="G20" s="39" t="s">
        <v>18</v>
      </c>
      <c r="H20" s="40">
        <f>J15+B19*B16/C16*-K15</f>
        <v>-7.4305583038873193</v>
      </c>
    </row>
    <row r="21" spans="1:8" x14ac:dyDescent="0.2">
      <c r="A21" s="63"/>
      <c r="B21" s="60"/>
      <c r="C21" s="60"/>
      <c r="D21" s="60"/>
      <c r="E21" s="65"/>
    </row>
    <row r="22" spans="1:8" x14ac:dyDescent="0.2">
      <c r="A22" s="59"/>
      <c r="B22" s="60"/>
      <c r="C22" s="60"/>
      <c r="D22" s="60"/>
    </row>
    <row r="23" spans="1:8" x14ac:dyDescent="0.2">
      <c r="A23" s="59"/>
      <c r="B23" s="60"/>
      <c r="C23" s="60"/>
      <c r="D23" s="60"/>
    </row>
    <row r="26" spans="1:8" x14ac:dyDescent="0.2">
      <c r="E26" s="66"/>
      <c r="H26" s="66"/>
    </row>
    <row r="27" spans="1:8" x14ac:dyDescent="0.2">
      <c r="H27" s="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Microsoft Office User</cp:lastModifiedBy>
  <dcterms:created xsi:type="dcterms:W3CDTF">2021-04-27T19:59:39Z</dcterms:created>
  <dcterms:modified xsi:type="dcterms:W3CDTF">2025-11-25T09:04:14Z</dcterms:modified>
</cp:coreProperties>
</file>